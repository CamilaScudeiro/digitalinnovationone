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BBFE637A-8BA2-42E9-8A1C-767E52DDC432}" xr6:coauthVersionLast="47" xr6:coauthVersionMax="47" xr10:uidLastSave="{00000000-0000-0000-0000-000000000000}"/>
  <bookViews>
    <workbookView xWindow="-120" yWindow="-120" windowWidth="29040" windowHeight="1572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<sst xmlns="http://schemas.openxmlformats.org/spreadsheetml/2006/main" count="71" uniqueCount="34">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</sst>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2" tint="-0.499984740745262"/>
      <name val="Segoe UI Semibold"/>
      <family val="2"/>
    </font>
    <font>
      <b/>
      <sz val="12"/>
      <color theme="2" tint="-0.499984740745262"/>
      <name val="Segoe UI Semibold"/>
      <family val="2"/>
    </font>
    <font>
      <sz val="11"/>
      <color theme="9" tint="-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4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3" borderId="5" xfId="0" applyFont="1" applyFill="1" applyBorder="1" applyAlignment="1">
      <alignment horizontal="left" indent="3"/>
    </xf>
    <xf numFmtId="164" fontId="6" fillId="3" borderId="6" xfId="0" applyNumberFormat="1" applyFont="1" applyFill="1" applyBorder="1" applyAlignment="1">
      <alignment horizontal="center"/>
    </xf>
    <xf numFmtId="164" fontId="6" fillId="3" borderId="7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left" indent="3"/>
    </xf>
    <xf numFmtId="164" fontId="6" fillId="3" borderId="9" xfId="0" applyNumberFormat="1" applyFont="1" applyFill="1" applyBorder="1" applyAlignment="1">
      <alignment horizontal="center"/>
    </xf>
    <xf numFmtId="164" fontId="6" fillId="3" borderId="10" xfId="0" applyNumberFormat="1" applyFont="1" applyFill="1" applyBorder="1" applyAlignment="1">
      <alignment horizontal="center"/>
    </xf>
    <xf numFmtId="0" fontId="5" fillId="3" borderId="11" xfId="0" applyFont="1" applyFill="1" applyBorder="1" applyAlignment="1">
      <alignment horizontal="left" indent="3"/>
    </xf>
    <xf numFmtId="164" fontId="6" fillId="3" borderId="12" xfId="0" applyNumberFormat="1" applyFont="1" applyFill="1" applyBorder="1" applyAlignment="1">
      <alignment horizontal="center"/>
    </xf>
    <xf numFmtId="164" fontId="6" fillId="3" borderId="13" xfId="0" applyNumberFormat="1" applyFont="1" applyFill="1" applyBorder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0" fontId="7" fillId="0" borderId="19" xfId="0" applyNumberFormat="1" applyFont="1" applyBorder="1" applyAlignment="1">
      <alignment horizontal="center"/>
    </xf>
    <xf numFmtId="8" fontId="7" fillId="3" borderId="19" xfId="0" applyNumberFormat="1" applyFont="1" applyFill="1" applyBorder="1" applyAlignment="1">
      <alignment horizontal="center"/>
    </xf>
    <xf numFmtId="8" fontId="7" fillId="3" borderId="22" xfId="0" applyNumberFormat="1" applyFont="1" applyFill="1" applyBorder="1" applyAlignment="1">
      <alignment horizontal="center"/>
    </xf>
    <xf numFmtId="164" fontId="6" fillId="0" borderId="16" xfId="1" applyNumberFormat="1" applyFont="1" applyBorder="1" applyAlignment="1">
      <alignment horizontal="center"/>
    </xf>
    <xf numFmtId="10" fontId="6" fillId="0" borderId="19" xfId="0" applyNumberFormat="1" applyFont="1" applyBorder="1" applyAlignment="1">
      <alignment horizontal="center"/>
    </xf>
    <xf numFmtId="164" fontId="6" fillId="4" borderId="22" xfId="0" applyNumberFormat="1" applyFont="1" applyFill="1" applyBorder="1" applyAlignment="1">
      <alignment horizontal="center"/>
    </xf>
    <xf numFmtId="0" fontId="2" fillId="2" borderId="0" xfId="3"/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2" borderId="0" xfId="2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5" fillId="4" borderId="14" xfId="0" applyFont="1" applyFill="1" applyBorder="1" applyAlignment="1">
      <alignment horizontal="left" indent="3"/>
    </xf>
    <xf numFmtId="0" fontId="5" fillId="4" borderId="15" xfId="0" applyFont="1" applyFill="1" applyBorder="1" applyAlignment="1">
      <alignment horizontal="left" indent="3"/>
    </xf>
    <xf numFmtId="0" fontId="5" fillId="4" borderId="17" xfId="0" applyFont="1" applyFill="1" applyBorder="1" applyAlignment="1">
      <alignment horizontal="left" indent="3"/>
    </xf>
    <xf numFmtId="0" fontId="5" fillId="4" borderId="18" xfId="0" applyFont="1" applyFill="1" applyBorder="1" applyAlignment="1">
      <alignment horizontal="left" indent="3"/>
    </xf>
    <xf numFmtId="0" fontId="8" fillId="3" borderId="20" xfId="0" applyFont="1" applyFill="1" applyBorder="1" applyAlignment="1">
      <alignment horizontal="left" indent="3"/>
    </xf>
    <xf numFmtId="0" fontId="8" fillId="3" borderId="21" xfId="0" applyFont="1" applyFill="1" applyBorder="1" applyAlignment="1">
      <alignment horizontal="left" indent="3"/>
    </xf>
    <xf numFmtId="0" fontId="5" fillId="4" borderId="20" xfId="0" applyFont="1" applyFill="1" applyBorder="1" applyAlignment="1">
      <alignment horizontal="left" indent="3"/>
    </xf>
    <xf numFmtId="0" fontId="5" fillId="4" borderId="21" xfId="0" applyFont="1" applyFill="1" applyBorder="1" applyAlignment="1">
      <alignment horizontal="left" indent="3"/>
    </xf>
    <xf numFmtId="0" fontId="8" fillId="3" borderId="17" xfId="0" applyFont="1" applyFill="1" applyBorder="1" applyAlignment="1">
      <alignment horizontal="left" indent="3"/>
    </xf>
    <xf numFmtId="0" fontId="8" fillId="3" borderId="18" xfId="0" applyFont="1" applyFill="1" applyBorder="1" applyAlignment="1">
      <alignment horizontal="left" indent="3"/>
    </xf>
    <xf numFmtId="0" fontId="9" fillId="8" borderId="1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9" borderId="0" xfId="3" applyFont="1" applyFill="1"/>
    <xf numFmtId="0" fontId="11" fillId="9" borderId="0" xfId="3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48-4E45-9A70-5F0E9AB581B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48-4E45-9A70-5F0E9AB581B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48-4E45-9A70-5F0E9AB581B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48-4E45-9A70-5F0E9AB581B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048-4E45-9A70-5F0E9AB581B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48-4E45-9A70-5F0E9AB581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25977</xdr:colOff>
      <xdr:row>0</xdr:row>
      <xdr:rowOff>173182</xdr:rowOff>
    </xdr:from>
    <xdr:to>
      <xdr:col>4</xdr:col>
      <xdr:colOff>51954</xdr:colOff>
      <xdr:row>6</xdr:row>
      <xdr:rowOff>60614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22D81A8-2372-8411-1FDC-0F01D60BAE79}"/>
            </a:ext>
          </a:extLst>
        </xdr:cNvPr>
        <xdr:cNvSpPr/>
      </xdr:nvSpPr>
      <xdr:spPr>
        <a:xfrm>
          <a:off x="389659" y="173182"/>
          <a:ext cx="5316681" cy="1030432"/>
        </a:xfrm>
        <a:prstGeom prst="rect">
          <a:avLst/>
        </a:prstGeom>
        <a:ln w="76200"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200"/>
        </a:p>
      </xdr:txBody>
    </xdr:sp>
    <xdr:clientData/>
  </xdr:twoCellAnchor>
  <xdr:twoCellAnchor>
    <xdr:from>
      <xdr:col>1</xdr:col>
      <xdr:colOff>1627910</xdr:colOff>
      <xdr:row>1</xdr:row>
      <xdr:rowOff>112568</xdr:rowOff>
    </xdr:from>
    <xdr:to>
      <xdr:col>3</xdr:col>
      <xdr:colOff>450274</xdr:colOff>
      <xdr:row>5</xdr:row>
      <xdr:rowOff>8659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50CDBCB-1385-249D-8275-B5B575BD0B0C}"/>
            </a:ext>
          </a:extLst>
        </xdr:cNvPr>
        <xdr:cNvSpPr txBox="1"/>
      </xdr:nvSpPr>
      <xdr:spPr>
        <a:xfrm>
          <a:off x="1991592" y="303068"/>
          <a:ext cx="3108614" cy="658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400">
              <a:solidFill>
                <a:schemeClr val="bg1"/>
              </a:solidFill>
              <a:latin typeface="Franklin Gothic Medium" panose="020B0603020102020204" pitchFamily="34" charset="0"/>
            </a:rPr>
            <a:t>DIO INVEST</a:t>
          </a:r>
        </a:p>
      </xdr:txBody>
    </xdr:sp>
    <xdr:clientData/>
  </xdr:twoCellAnchor>
  <xdr:twoCellAnchor editAs="oneCell">
    <xdr:from>
      <xdr:col>1</xdr:col>
      <xdr:colOff>571500</xdr:colOff>
      <xdr:row>0</xdr:row>
      <xdr:rowOff>181841</xdr:rowOff>
    </xdr:from>
    <xdr:to>
      <xdr:col>1</xdr:col>
      <xdr:colOff>1428750</xdr:colOff>
      <xdr:row>5</xdr:row>
      <xdr:rowOff>143741</xdr:rowOff>
    </xdr:to>
    <xdr:pic>
      <xdr:nvPicPr>
        <xdr:cNvPr id="7" name="Gráfico 6" descr="Cofrinho com preenchimento sólido">
          <a:extLst>
            <a:ext uri="{FF2B5EF4-FFF2-40B4-BE49-F238E27FC236}">
              <a16:creationId xmlns:a16="http://schemas.microsoft.com/office/drawing/2014/main" id="{1890227E-A139-A85F-1CB2-B01ABB24F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35182" y="181841"/>
          <a:ext cx="8572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topLeftCell="A24" zoomScale="110" zoomScaleNormal="110" workbookViewId="0">
      <selection activeCell="E40" sqref="E40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7" width="3.5703125" customWidth="1"/>
    <col min="8" max="8" width="12.85546875" customWidth="1"/>
    <col min="9" max="16384" width="8.7109375" hidden="1"/>
  </cols>
  <sheetData>
    <row r="10" spans="2:4" ht="15.75" thickBot="1" x14ac:dyDescent="0.3"/>
    <row r="11" spans="2:4" ht="26.25" x14ac:dyDescent="0.25">
      <c r="B11" s="48" t="s">
        <v>15</v>
      </c>
      <c r="C11" s="49"/>
      <c r="D11" s="50"/>
    </row>
    <row r="12" spans="2:4" ht="17.25" x14ac:dyDescent="0.3">
      <c r="B12" s="38" t="s">
        <v>14</v>
      </c>
      <c r="C12" s="39"/>
      <c r="D12" s="19">
        <v>2000</v>
      </c>
    </row>
    <row r="13" spans="2:4" ht="17.25" x14ac:dyDescent="0.3">
      <c r="B13" s="40" t="s">
        <v>13</v>
      </c>
      <c r="C13" s="41"/>
      <c r="D13" s="20">
        <v>6.0000000000000001E-3</v>
      </c>
    </row>
    <row r="14" spans="2:4" ht="18" thickBot="1" x14ac:dyDescent="0.35">
      <c r="B14" s="44" t="s">
        <v>33</v>
      </c>
      <c r="C14" s="45"/>
      <c r="D14" s="21">
        <f>D12*30%</f>
        <v>600</v>
      </c>
    </row>
    <row r="15" spans="2:4" ht="15.75" thickBot="1" x14ac:dyDescent="0.3"/>
    <row r="16" spans="2:4" ht="28.5" customHeight="1" x14ac:dyDescent="0.25">
      <c r="B16" s="48" t="s">
        <v>5</v>
      </c>
      <c r="C16" s="49"/>
      <c r="D16" s="50"/>
    </row>
    <row r="17" spans="1:6" ht="17.25" x14ac:dyDescent="0.3">
      <c r="B17" s="38" t="s">
        <v>0</v>
      </c>
      <c r="C17" s="39"/>
      <c r="D17" s="14">
        <v>200</v>
      </c>
    </row>
    <row r="18" spans="1:6" ht="17.25" x14ac:dyDescent="0.3">
      <c r="B18" s="40" t="s">
        <v>1</v>
      </c>
      <c r="C18" s="41"/>
      <c r="D18" s="15">
        <v>5</v>
      </c>
    </row>
    <row r="19" spans="1:6" ht="17.25" x14ac:dyDescent="0.3">
      <c r="B19" s="40" t="s">
        <v>2</v>
      </c>
      <c r="C19" s="41"/>
      <c r="D19" s="16">
        <v>1.0789999999999999E-2</v>
      </c>
    </row>
    <row r="20" spans="1:6" ht="17.25" x14ac:dyDescent="0.3">
      <c r="B20" s="46" t="s">
        <v>3</v>
      </c>
      <c r="C20" s="47"/>
      <c r="D20" s="17">
        <f>FV(taxa_mensal,qtd_anos*12,aporte*-1)</f>
        <v>16755.382799697527</v>
      </c>
    </row>
    <row r="21" spans="1:6" ht="18" thickBot="1" x14ac:dyDescent="0.35">
      <c r="B21" s="42" t="s">
        <v>4</v>
      </c>
      <c r="C21" s="43"/>
      <c r="D21" s="18">
        <f>patrimonio*rendimento_carteira</f>
        <v>100.53229679818516</v>
      </c>
      <c r="F21" s="3"/>
    </row>
    <row r="22" spans="1:6" ht="15.75" thickBot="1" x14ac:dyDescent="0.3"/>
    <row r="23" spans="1:6" ht="26.25" x14ac:dyDescent="0.25">
      <c r="B23" s="48" t="s">
        <v>11</v>
      </c>
      <c r="C23" s="49"/>
      <c r="D23" s="51" t="s">
        <v>12</v>
      </c>
    </row>
    <row r="24" spans="1:6" ht="17.25" x14ac:dyDescent="0.3">
      <c r="A24" s="1">
        <v>2</v>
      </c>
      <c r="B24" s="5" t="s">
        <v>6</v>
      </c>
      <c r="C24" s="6">
        <f>FV($D$19,$A24*12,$D$17*-1)</f>
        <v>5445.5254595290435</v>
      </c>
      <c r="D24" s="7">
        <f>C24*rendimento_carteira</f>
        <v>32.673152757174265</v>
      </c>
    </row>
    <row r="25" spans="1:6" ht="17.25" x14ac:dyDescent="0.3">
      <c r="A25" s="1">
        <v>5</v>
      </c>
      <c r="B25" s="8" t="s">
        <v>7</v>
      </c>
      <c r="C25" s="9">
        <f>FV($D$19,$A25*12,$D$17*-1)</f>
        <v>16755.382799697527</v>
      </c>
      <c r="D25" s="10">
        <f>C25*rendimento_carteira</f>
        <v>100.53229679818516</v>
      </c>
    </row>
    <row r="26" spans="1:6" ht="17.25" x14ac:dyDescent="0.3">
      <c r="A26" s="1">
        <v>10</v>
      </c>
      <c r="B26" s="8" t="s">
        <v>8</v>
      </c>
      <c r="C26" s="9">
        <f>FV($D$19,$A26*12,$D$17*-1)</f>
        <v>48656.842506034438</v>
      </c>
      <c r="D26" s="10">
        <f>C26*rendimento_carteira</f>
        <v>291.94105503620665</v>
      </c>
    </row>
    <row r="27" spans="1:6" ht="17.25" x14ac:dyDescent="0.3">
      <c r="A27" s="1">
        <v>20</v>
      </c>
      <c r="B27" s="8" t="s">
        <v>9</v>
      </c>
      <c r="C27" s="9">
        <f>FV($D$19,$A27*12,$D$17*-1)</f>
        <v>225039.68001941612</v>
      </c>
      <c r="D27" s="10">
        <f>C27*rendimento_carteira</f>
        <v>1350.2380801164968</v>
      </c>
    </row>
    <row r="28" spans="1:6" ht="18" thickBot="1" x14ac:dyDescent="0.35">
      <c r="A28" s="1">
        <v>30</v>
      </c>
      <c r="B28" s="11" t="s">
        <v>10</v>
      </c>
      <c r="C28" s="12">
        <f>FV($D$19,$A28*12,$D$17*-1)</f>
        <v>864433.93100094295</v>
      </c>
      <c r="D28" s="13">
        <f>C28*rendimento_carteira</f>
        <v>5186.6035860056581</v>
      </c>
    </row>
    <row r="32" spans="1:6" x14ac:dyDescent="0.25">
      <c r="B32" s="52" t="s">
        <v>20</v>
      </c>
      <c r="C32" s="53" t="s">
        <v>17</v>
      </c>
      <c r="D32" s="52"/>
    </row>
    <row r="33" spans="2:4" x14ac:dyDescent="0.25">
      <c r="B33" s="23" t="s">
        <v>19</v>
      </c>
      <c r="C33" s="24">
        <f>aporte</f>
        <v>200</v>
      </c>
      <c r="D33" s="23"/>
    </row>
    <row r="35" spans="2:4" x14ac:dyDescent="0.25">
      <c r="B35" s="25" t="s">
        <v>21</v>
      </c>
      <c r="C35" s="25" t="s">
        <v>22</v>
      </c>
      <c r="D35" s="25" t="s">
        <v>23</v>
      </c>
    </row>
    <row r="36" spans="2:4" x14ac:dyDescent="0.25">
      <c r="B36" s="2" t="s">
        <v>24</v>
      </c>
      <c r="C36" s="4">
        <f>VLOOKUP($C$32&amp;"-"&amp;B36,Planilha2!$A:$D,4,FALSE)</f>
        <v>0.32</v>
      </c>
      <c r="D36" s="28">
        <f>C36*$C$33</f>
        <v>64</v>
      </c>
    </row>
    <row r="37" spans="2:4" x14ac:dyDescent="0.25">
      <c r="B37" s="2" t="s">
        <v>25</v>
      </c>
      <c r="C37" s="4">
        <f>VLOOKUP($C$32&amp;"-"&amp;B37,Planilha2!$A:$D,4,FALSE)</f>
        <v>0.35</v>
      </c>
      <c r="D37" s="28">
        <f t="shared" ref="D37:D41" si="0">C37*$C$33</f>
        <v>70</v>
      </c>
    </row>
    <row r="38" spans="2:4" x14ac:dyDescent="0.25">
      <c r="B38" s="2" t="s">
        <v>26</v>
      </c>
      <c r="C38" s="4">
        <f>VLOOKUP($C$32&amp;"-"&amp;B38,Planilha2!$A:$D,4,FALSE)</f>
        <v>0.08</v>
      </c>
      <c r="D38" s="28">
        <f t="shared" si="0"/>
        <v>16</v>
      </c>
    </row>
    <row r="39" spans="2:4" x14ac:dyDescent="0.25">
      <c r="B39" s="2" t="s">
        <v>27</v>
      </c>
      <c r="C39" s="4">
        <f>VLOOKUP($C$32&amp;"-"&amp;B39,Planilha2!$A:$D,4,FALSE)</f>
        <v>0.05</v>
      </c>
      <c r="D39" s="28">
        <f t="shared" si="0"/>
        <v>10</v>
      </c>
    </row>
    <row r="40" spans="2:4" x14ac:dyDescent="0.25">
      <c r="B40" s="2" t="s">
        <v>28</v>
      </c>
      <c r="C40" s="4">
        <f>VLOOKUP($C$32&amp;"-"&amp;B40,Planilha2!$A:$D,4,FALSE)</f>
        <v>0.1</v>
      </c>
      <c r="D40" s="28">
        <f t="shared" si="0"/>
        <v>20</v>
      </c>
    </row>
    <row r="41" spans="2:4" x14ac:dyDescent="0.25">
      <c r="B41" s="2" t="s">
        <v>29</v>
      </c>
      <c r="C41" s="4">
        <f>VLOOKUP($C$32&amp;"-"&amp;B41,Planilha2!$A:$D,4,FALSE)</f>
        <v>0.1</v>
      </c>
      <c r="D41" s="28">
        <f t="shared" si="0"/>
        <v>20</v>
      </c>
    </row>
    <row r="42" spans="2:4" x14ac:dyDescent="0.25">
      <c r="B42" s="26"/>
      <c r="C42" s="26"/>
      <c r="D42" s="27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1">
    <mergeCell ref="B11:D11"/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D25" sqref="D25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36" t="s">
        <v>31</v>
      </c>
      <c r="B2" s="36" t="s">
        <v>20</v>
      </c>
      <c r="C2" s="37" t="s">
        <v>21</v>
      </c>
      <c r="D2" s="37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2" t="s">
        <v>32</v>
      </c>
      <c r="H4" s="35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29" t="str">
        <f t="shared" si="0"/>
        <v>Conservador-HOTELARIAS</v>
      </c>
      <c r="B8" s="29" t="s">
        <v>16</v>
      </c>
      <c r="C8" s="30" t="s">
        <v>29</v>
      </c>
      <c r="D8" s="31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32" t="str">
        <f t="shared" si="0"/>
        <v>Moderado-TIJOLO</v>
      </c>
      <c r="B10" s="32" t="s">
        <v>17</v>
      </c>
      <c r="C10" s="33" t="s">
        <v>25</v>
      </c>
      <c r="D10" s="34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29" t="str">
        <f t="shared" si="0"/>
        <v>Moderado-HOTELARIAS</v>
      </c>
      <c r="B14" s="29" t="s">
        <v>17</v>
      </c>
      <c r="C14" s="30" t="s">
        <v>29</v>
      </c>
      <c r="D14" s="31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Camila Scudeiro</cp:lastModifiedBy>
  <dcterms:created xsi:type="dcterms:W3CDTF">2025-04-16T18:38:03Z</dcterms:created>
  <dcterms:modified xsi:type="dcterms:W3CDTF">2026-07-05T00:10:51Z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